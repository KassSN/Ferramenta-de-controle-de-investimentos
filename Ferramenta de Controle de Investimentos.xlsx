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3f3137fdcfa36c/Área de Trabalho/"/>
    </mc:Choice>
  </mc:AlternateContent>
  <xr:revisionPtr revIDLastSave="523" documentId="8_{DF2AF6A0-2027-41AB-ADAE-D0458D3E0DAE}" xr6:coauthVersionLast="47" xr6:coauthVersionMax="47" xr10:uidLastSave="{CFE179A7-72D8-4406-A464-1050EBC69DB4}"/>
  <bookViews>
    <workbookView xWindow="-108" yWindow="-108" windowWidth="23256" windowHeight="12456" xr2:uid="{0FD3C7F0-CA5E-49F5-A6DD-B54BBAFFDBB2}"/>
  </bookViews>
  <sheets>
    <sheet name="Simulador" sheetId="1" r:id="rId1"/>
    <sheet name="Planilha2" sheetId="2" r:id="rId2"/>
  </sheets>
  <definedNames>
    <definedName name="aporte">Simulador!$D$17</definedName>
    <definedName name="patrimonio">Simulador!$D$20</definedName>
    <definedName name="qtd_anos">Simulador!$D$18</definedName>
    <definedName name="rendimento_carteira">Simulador!$D$13</definedName>
    <definedName name="salario">Simulador!$D$12</definedName>
    <definedName name="sugestao_invest">Simulador!$D$14</definedName>
    <definedName name="taxa">Simulador!$D$19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B9" i="2"/>
  <c r="B10" i="2"/>
  <c r="B11" i="2"/>
  <c r="B12" i="2"/>
  <c r="B13" i="2"/>
  <c r="B14" i="2"/>
  <c r="B15" i="2"/>
  <c r="B16" i="2"/>
  <c r="B17" i="2"/>
  <c r="B18" i="2"/>
  <c r="B19" i="2"/>
  <c r="B20" i="2"/>
  <c r="B4" i="2"/>
  <c r="B5" i="2"/>
  <c r="B6" i="2"/>
  <c r="B7" i="2"/>
  <c r="B8" i="2"/>
  <c r="B3" i="2"/>
  <c r="C33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8" i="1" l="1"/>
  <c r="D36" i="1"/>
  <c r="D41" i="1"/>
  <c r="D39" i="1"/>
  <c r="D37" i="1"/>
  <c r="D40" i="1"/>
  <c r="D42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<sst xmlns="http://schemas.openxmlformats.org/spreadsheetml/2006/main" count="69" uniqueCount="34">
  <si>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</si>
  <si>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</si>
  <si>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</si>
  <si>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</si>
  <si>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</si>
  <si>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</si>
  <si>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</si>
  <si>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</si>
  <si>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</si>
  <si>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</si>
  <si>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</si>
  <si>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</si>
  <si>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</si>
  <si>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Salário</t>
  </si>
  <si>
    <t>Rendimento carteira</t>
  </si>
  <si>
    <t>CONFIGURAÇÕES</t>
  </si>
  <si>
    <t>Agressivo</t>
  </si>
  <si>
    <t>PERFIL</t>
  </si>
  <si>
    <t>VALOR A SER INVESTIDO POR MÊS</t>
  </si>
  <si>
    <t>TIPOS DE FII</t>
  </si>
  <si>
    <t>Percentual Sugerido</t>
  </si>
  <si>
    <t>Valores</t>
  </si>
  <si>
    <t>PAPEL</t>
  </si>
  <si>
    <t>TIJOLO</t>
  </si>
  <si>
    <t>HIBRIDOS</t>
  </si>
  <si>
    <t>DESENVOLVIMENTO</t>
  </si>
  <si>
    <t>FOFs</t>
  </si>
  <si>
    <t>HOTELARIAS</t>
  </si>
  <si>
    <t>Conservador</t>
  </si>
  <si>
    <t>TIPO DE FII</t>
  </si>
  <si>
    <t>%</t>
  </si>
  <si>
    <t>Moderado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</si>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</sst>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hair">
        <color theme="0" tint="-0.14996795556505021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hair">
        <color theme="0" tint="-0.14996795556505021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hair">
        <color theme="0" tint="-0.14996795556505021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hair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hair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hair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8" fontId="9" fillId="4" borderId="14" xfId="0" applyNumberFormat="1" applyFont="1" applyFill="1" applyBorder="1" applyAlignment="1">
      <alignment horizontal="center"/>
    </xf>
    <xf numFmtId="8" fontId="9" fillId="4" borderId="15" xfId="0" applyNumberFormat="1" applyFont="1" applyFill="1" applyBorder="1" applyAlignment="1">
      <alignment horizontal="center"/>
    </xf>
    <xf numFmtId="8" fontId="9" fillId="4" borderId="16" xfId="0" applyNumberFormat="1" applyFont="1" applyFill="1" applyBorder="1" applyAlignment="1">
      <alignment horizontal="center"/>
    </xf>
    <xf numFmtId="8" fontId="9" fillId="4" borderId="17" xfId="0" applyNumberFormat="1" applyFont="1" applyFill="1" applyBorder="1" applyAlignment="1">
      <alignment horizontal="center"/>
    </xf>
    <xf numFmtId="8" fontId="9" fillId="4" borderId="18" xfId="0" applyNumberFormat="1" applyFont="1" applyFill="1" applyBorder="1" applyAlignment="1">
      <alignment horizontal="center"/>
    </xf>
    <xf numFmtId="8" fontId="9" fillId="4" borderId="19" xfId="0" applyNumberFormat="1" applyFont="1" applyFill="1" applyBorder="1" applyAlignment="1">
      <alignment horizontal="center"/>
    </xf>
    <xf numFmtId="165" fontId="10" fillId="0" borderId="21" xfId="1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0" fontId="10" fillId="0" borderId="17" xfId="0" applyNumberFormat="1" applyFont="1" applyBorder="1" applyAlignment="1">
      <alignment horizontal="center"/>
    </xf>
    <xf numFmtId="8" fontId="10" fillId="5" borderId="17" xfId="0" applyNumberFormat="1" applyFont="1" applyFill="1" applyBorder="1" applyAlignment="1">
      <alignment horizontal="center"/>
    </xf>
    <xf numFmtId="8" fontId="10" fillId="5" borderId="19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indent="3"/>
    </xf>
    <xf numFmtId="0" fontId="8" fillId="5" borderId="7" xfId="0" applyFont="1" applyFill="1" applyBorder="1" applyAlignment="1">
      <alignment horizontal="left" indent="3"/>
    </xf>
    <xf numFmtId="0" fontId="8" fillId="5" borderId="8" xfId="0" applyFont="1" applyFill="1" applyBorder="1" applyAlignment="1">
      <alignment horizontal="left" indent="3"/>
    </xf>
    <xf numFmtId="0" fontId="8" fillId="5" borderId="9" xfId="0" applyFont="1" applyFill="1" applyBorder="1" applyAlignment="1">
      <alignment horizontal="left" indent="3"/>
    </xf>
    <xf numFmtId="0" fontId="8" fillId="5" borderId="10" xfId="0" applyFont="1" applyFill="1" applyBorder="1" applyAlignment="1">
      <alignment horizontal="left" indent="3"/>
    </xf>
    <xf numFmtId="0" fontId="8" fillId="5" borderId="11" xfId="0" applyFont="1" applyFill="1" applyBorder="1" applyAlignment="1">
      <alignment horizontal="left" indent="3"/>
    </xf>
    <xf numFmtId="0" fontId="8" fillId="5" borderId="12" xfId="0" applyFont="1" applyFill="1" applyBorder="1" applyAlignment="1">
      <alignment horizontal="left" indent="3"/>
    </xf>
    <xf numFmtId="0" fontId="9" fillId="0" borderId="7" xfId="0" applyFont="1" applyBorder="1" applyAlignment="1">
      <alignment horizontal="left" indent="3"/>
    </xf>
    <xf numFmtId="0" fontId="9" fillId="0" borderId="20" xfId="0" applyFont="1" applyBorder="1" applyAlignment="1">
      <alignment horizontal="left" indent="3"/>
    </xf>
    <xf numFmtId="0" fontId="9" fillId="0" borderId="9" xfId="0" applyFont="1" applyBorder="1" applyAlignment="1">
      <alignment horizontal="left" indent="3"/>
    </xf>
    <xf numFmtId="0" fontId="9" fillId="0" borderId="16" xfId="0" applyFont="1" applyBorder="1" applyAlignment="1">
      <alignment horizontal="left" indent="3"/>
    </xf>
    <xf numFmtId="0" fontId="10" fillId="5" borderId="9" xfId="0" applyFont="1" applyFill="1" applyBorder="1" applyAlignment="1">
      <alignment horizontal="left" indent="3"/>
    </xf>
    <xf numFmtId="0" fontId="10" fillId="5" borderId="16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3"/>
    </xf>
    <xf numFmtId="0" fontId="10" fillId="5" borderId="18" xfId="0" applyFont="1" applyFill="1" applyBorder="1" applyAlignment="1">
      <alignment horizontal="left" indent="3"/>
    </xf>
    <xf numFmtId="0" fontId="9" fillId="4" borderId="13" xfId="0" applyFont="1" applyFill="1" applyBorder="1" applyAlignment="1">
      <alignment horizontal="left" indent="3"/>
    </xf>
    <xf numFmtId="0" fontId="9" fillId="4" borderId="9" xfId="0" applyFont="1" applyFill="1" applyBorder="1" applyAlignment="1">
      <alignment horizontal="left" indent="3"/>
    </xf>
    <xf numFmtId="0" fontId="9" fillId="4" borderId="11" xfId="0" applyFont="1" applyFill="1" applyBorder="1" applyAlignment="1">
      <alignment horizontal="left" indent="3"/>
    </xf>
    <xf numFmtId="0" fontId="7" fillId="6" borderId="6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2" borderId="0" xfId="3"/>
    <xf numFmtId="0" fontId="4" fillId="7" borderId="0" xfId="0" applyFont="1" applyFill="1"/>
    <xf numFmtId="0" fontId="2" fillId="2" borderId="0" xfId="3" applyAlignment="1">
      <alignment horizontal="center"/>
    </xf>
    <xf numFmtId="165" fontId="4" fillId="7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/>
    <xf numFmtId="165" fontId="4" fillId="8" borderId="0" xfId="0" applyNumberFormat="1" applyFont="1" applyFill="1"/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0" xfId="2" applyNumberFormat="1" applyFont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Simulador!$C$35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5-4591-BD7B-30A0851B7764}"/>
            </c:ext>
          </c:extLst>
        </c:ser>
        <c:ser>
          <c:idx val="1"/>
          <c:order val="1"/>
          <c:tx>
            <c:strRef>
              <c:f>Simulador!$D$35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Simulador!$D$36:$D$41</c:f>
              <c:numCache>
                <c:formatCode>"R$"\ #,##0.00</c:formatCode>
                <c:ptCount val="6"/>
                <c:pt idx="0">
                  <c:v>630</c:v>
                </c:pt>
                <c:pt idx="1">
                  <c:v>126</c:v>
                </c:pt>
                <c:pt idx="2">
                  <c:v>63</c:v>
                </c:pt>
                <c:pt idx="3">
                  <c:v>63</c:v>
                </c:pt>
                <c:pt idx="4">
                  <c:v>252</c:v>
                </c:pt>
                <c:pt idx="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5-4591-BD7B-30A0851B77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1687830</xdr:colOff>
      <xdr:row>43</xdr:row>
      <xdr:rowOff>3810</xdr:rowOff>
    </xdr:from>
    <xdr:to>
      <xdr:col>2</xdr:col>
      <xdr:colOff>1714500</xdr:colOff>
      <xdr:row>55</xdr:row>
      <xdr:rowOff>91440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9C2022-CD37-E05A-557C-BBBA37CDD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198663</xdr:colOff>
      <xdr:row>1</xdr:row>
      <xdr:rowOff>1</xdr:rowOff>
    </xdr:from>
    <xdr:to>
      <xdr:col>4</xdr:col>
      <xdr:colOff>32657</xdr:colOff>
      <xdr:row>9</xdr:row>
      <xdr:rowOff>21773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CD900EB-A1EF-B988-C381-41DF29F88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63" y="185058"/>
          <a:ext cx="7268937" cy="1502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60C6-DB3F-4521-AF0B-6EE30C634003}">
  <dimension ref="A10:XFD64"/>
  <sheetViews>
    <sheetView showGridLines="0" tabSelected="1" zoomScaleNormal="100" workbookViewId="0">
      <selection activeCell="F14" sqref="F14"/>
    </sheetView>
  </sheetViews>
  <sheetFormatPr defaultColWidth="0" defaultRowHeight="14.4" x14ac:dyDescent="0.3"/>
  <cols>
    <col min="1" max="1" width="3.6640625" customWidth="1"/>
    <col min="2" max="2" width="62" customWidth="1"/>
    <col min="3" max="3" width="28.77734375" bestFit="1" customWidth="1"/>
    <col min="4" max="4" width="13.88671875" bestFit="1" customWidth="1"/>
    <col min="5" max="5" width="2.77734375" customWidth="1"/>
    <col min="6" max="6" width="2.88671875" customWidth="1"/>
    <col min="7" max="7" width="2.109375" customWidth="1"/>
    <col min="8" max="8" width="2.88671875" customWidth="1"/>
    <col min="9" max="16383" width="8.88671875" hidden="1"/>
    <col min="16384" max="16384" width="9.5546875" hidden="1" customWidth="1"/>
  </cols>
  <sheetData>
    <row r="10" spans="2:4" ht="15" thickBot="1" x14ac:dyDescent="0.35"/>
    <row r="11" spans="2:4" ht="23.4" x14ac:dyDescent="0.3">
      <c r="B11" s="22" t="s">
        <v>15</v>
      </c>
      <c r="C11" s="41"/>
      <c r="D11" s="42"/>
    </row>
    <row r="12" spans="2:4" ht="16.2" thickBot="1" x14ac:dyDescent="0.35">
      <c r="B12" s="24" t="s">
        <v>13</v>
      </c>
      <c r="C12" s="25"/>
      <c r="D12" s="7">
        <v>4200</v>
      </c>
    </row>
    <row r="13" spans="2:4" ht="16.2" thickBot="1" x14ac:dyDescent="0.35">
      <c r="B13" s="26" t="s">
        <v>14</v>
      </c>
      <c r="C13" s="27"/>
      <c r="D13" s="8">
        <v>6.0000000000000001E-3</v>
      </c>
    </row>
    <row r="14" spans="2:4" ht="16.2" thickBot="1" x14ac:dyDescent="0.35">
      <c r="B14" s="28" t="s">
        <v>33</v>
      </c>
      <c r="C14" s="29"/>
      <c r="D14" s="9">
        <f>salario*30%</f>
        <v>1260</v>
      </c>
    </row>
    <row r="15" spans="2:4" ht="15" thickBot="1" x14ac:dyDescent="0.35"/>
    <row r="16" spans="2:4" ht="36" customHeight="1" x14ac:dyDescent="0.3">
      <c r="B16" s="3" t="s">
        <v>5</v>
      </c>
      <c r="C16" s="10"/>
      <c r="D16" s="43"/>
    </row>
    <row r="17" spans="1:4" ht="16.2" thickBot="1" x14ac:dyDescent="0.35">
      <c r="B17" s="30" t="s">
        <v>0</v>
      </c>
      <c r="C17" s="31"/>
      <c r="D17" s="17">
        <v>1260</v>
      </c>
    </row>
    <row r="18" spans="1:4" ht="16.2" thickBot="1" x14ac:dyDescent="0.35">
      <c r="B18" s="32" t="s">
        <v>1</v>
      </c>
      <c r="C18" s="33"/>
      <c r="D18" s="18">
        <v>10</v>
      </c>
    </row>
    <row r="19" spans="1:4" ht="16.2" thickBot="1" x14ac:dyDescent="0.35">
      <c r="B19" s="32" t="s">
        <v>2</v>
      </c>
      <c r="C19" s="33"/>
      <c r="D19" s="19">
        <v>1.0789999999999999E-2</v>
      </c>
    </row>
    <row r="20" spans="1:4" ht="16.2" thickBot="1" x14ac:dyDescent="0.35">
      <c r="B20" s="34" t="s">
        <v>3</v>
      </c>
      <c r="C20" s="35"/>
      <c r="D20" s="20">
        <f>FV(taxa,12*qtd_anos,aporte*-1)</f>
        <v>306538.10778801696</v>
      </c>
    </row>
    <row r="21" spans="1:4" ht="16.2" thickBot="1" x14ac:dyDescent="0.35">
      <c r="B21" s="36" t="s">
        <v>4</v>
      </c>
      <c r="C21" s="37"/>
      <c r="D21" s="21">
        <f>patrimonio*rendimento_carteira</f>
        <v>1839.2286467281017</v>
      </c>
    </row>
    <row r="22" spans="1:4" ht="15" thickBot="1" x14ac:dyDescent="0.35"/>
    <row r="23" spans="1:4" ht="25.8" x14ac:dyDescent="0.3">
      <c r="B23" s="3" t="s">
        <v>6</v>
      </c>
      <c r="C23" s="10"/>
      <c r="D23" s="4" t="s">
        <v>12</v>
      </c>
    </row>
    <row r="24" spans="1:4" ht="16.2" thickBot="1" x14ac:dyDescent="0.35">
      <c r="A24" s="1">
        <v>2</v>
      </c>
      <c r="B24" s="38" t="s">
        <v>7</v>
      </c>
      <c r="C24" s="11">
        <f>FV($D$19,A24*12,$D$17*-1)</f>
        <v>34306.810395032975</v>
      </c>
      <c r="D24" s="12">
        <f>C24*rendimento_carteira</f>
        <v>205.84086237019787</v>
      </c>
    </row>
    <row r="25" spans="1:4" ht="16.2" thickBot="1" x14ac:dyDescent="0.35">
      <c r="A25" s="1">
        <v>5</v>
      </c>
      <c r="B25" s="39" t="s">
        <v>8</v>
      </c>
      <c r="C25" s="13">
        <f>FV($D$19,A25*12,$D$17*-1)</f>
        <v>105558.91163809443</v>
      </c>
      <c r="D25" s="14">
        <f>C25*rendimento_carteira</f>
        <v>633.35346982856663</v>
      </c>
    </row>
    <row r="26" spans="1:4" ht="16.2" thickBot="1" x14ac:dyDescent="0.35">
      <c r="A26" s="1">
        <v>10</v>
      </c>
      <c r="B26" s="39" t="s">
        <v>9</v>
      </c>
      <c r="C26" s="13">
        <f>FV($D$19,A26*12,$D$17*-1)</f>
        <v>306538.10778801696</v>
      </c>
      <c r="D26" s="14">
        <f>C26*rendimento_carteira</f>
        <v>1839.2286467281017</v>
      </c>
    </row>
    <row r="27" spans="1:4" ht="16.2" thickBot="1" x14ac:dyDescent="0.35">
      <c r="A27" s="1">
        <v>20</v>
      </c>
      <c r="B27" s="39" t="s">
        <v>10</v>
      </c>
      <c r="C27" s="13">
        <f>FV($D$19,A27*12,$D$17*-1)</f>
        <v>1417749.9841223215</v>
      </c>
      <c r="D27" s="14">
        <f>C27*rendimento_carteira</f>
        <v>8506.4999047339297</v>
      </c>
    </row>
    <row r="28" spans="1:4" ht="16.2" thickBot="1" x14ac:dyDescent="0.35">
      <c r="A28" s="1">
        <v>30</v>
      </c>
      <c r="B28" s="40" t="s">
        <v>11</v>
      </c>
      <c r="C28" s="15">
        <f>FV($D$19,A28*12,$D$17*-1)</f>
        <v>5445933.7653059401</v>
      </c>
      <c r="D28" s="16">
        <f>C28*rendimento_carteira</f>
        <v>32675.602591835643</v>
      </c>
    </row>
    <row r="30" spans="1:4" x14ac:dyDescent="0.3">
      <c r="B30" s="23"/>
    </row>
    <row r="32" spans="1:4" x14ac:dyDescent="0.3">
      <c r="B32" s="44" t="s">
        <v>17</v>
      </c>
      <c r="C32" s="46" t="s">
        <v>16</v>
      </c>
      <c r="D32" s="44"/>
    </row>
    <row r="33" spans="2:4" x14ac:dyDescent="0.3">
      <c r="B33" s="45" t="s">
        <v>18</v>
      </c>
      <c r="C33" s="47">
        <f>aporte</f>
        <v>1260</v>
      </c>
      <c r="D33" s="45"/>
    </row>
    <row r="35" spans="2:4" x14ac:dyDescent="0.3">
      <c r="B35" s="48" t="s">
        <v>19</v>
      </c>
      <c r="C35" s="48" t="s">
        <v>20</v>
      </c>
      <c r="D35" s="48" t="s">
        <v>21</v>
      </c>
    </row>
    <row r="36" spans="2:4" x14ac:dyDescent="0.3">
      <c r="B36" s="2" t="s">
        <v>22</v>
      </c>
      <c r="C36" s="5">
        <f>VLOOKUP($C$32&amp;"-"&amp;B36,Planilha2!$B$3:$E$20,4,FALSE)</f>
        <v>0.5</v>
      </c>
      <c r="D36" s="6">
        <f>$C$33*C36</f>
        <v>630</v>
      </c>
    </row>
    <row r="37" spans="2:4" x14ac:dyDescent="0.3">
      <c r="B37" s="2" t="s">
        <v>23</v>
      </c>
      <c r="C37" s="5">
        <f>VLOOKUP($C$32&amp;"-"&amp;B37,Planilha2!$B$3:$E$20,4,FALSE)</f>
        <v>0.1</v>
      </c>
      <c r="D37" s="6">
        <f t="shared" ref="D37:D41" si="0">$C$33*C37</f>
        <v>126</v>
      </c>
    </row>
    <row r="38" spans="2:4" x14ac:dyDescent="0.3">
      <c r="B38" s="2" t="s">
        <v>24</v>
      </c>
      <c r="C38" s="5">
        <f>VLOOKUP($C$32&amp;"-"&amp;B38,Planilha2!$B$3:$E$20,4,FALSE)</f>
        <v>0.05</v>
      </c>
      <c r="D38" s="6">
        <f t="shared" si="0"/>
        <v>63</v>
      </c>
    </row>
    <row r="39" spans="2:4" x14ac:dyDescent="0.3">
      <c r="B39" s="2" t="s">
        <v>26</v>
      </c>
      <c r="C39" s="5">
        <f>VLOOKUP($C$32&amp;"-"&amp;B39,Planilha2!$B$3:$E$20,4,FALSE)</f>
        <v>0.05</v>
      </c>
      <c r="D39" s="6">
        <f t="shared" si="0"/>
        <v>63</v>
      </c>
    </row>
    <row r="40" spans="2:4" x14ac:dyDescent="0.3">
      <c r="B40" s="2" t="s">
        <v>25</v>
      </c>
      <c r="C40" s="5">
        <f>VLOOKUP($C$32&amp;"-"&amp;B40,Planilha2!$B$3:$E$20,4,FALSE)</f>
        <v>0.2</v>
      </c>
      <c r="D40" s="6">
        <f t="shared" si="0"/>
        <v>252</v>
      </c>
    </row>
    <row r="41" spans="2:4" x14ac:dyDescent="0.3">
      <c r="B41" s="2" t="s">
        <v>27</v>
      </c>
      <c r="C41" s="5">
        <f>VLOOKUP($C$32&amp;"-"&amp;B41,Planilha2!$B$3:$E$20,4,FALSE)</f>
        <v>0.1</v>
      </c>
      <c r="D41" s="6">
        <f t="shared" si="0"/>
        <v>126</v>
      </c>
    </row>
    <row r="42" spans="2:4" x14ac:dyDescent="0.3">
      <c r="B42" s="49"/>
      <c r="C42" s="49"/>
      <c r="D42" s="50">
        <f>SUM(D36:D41)</f>
        <v>1260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</sheetData>
  <mergeCells count="11">
    <mergeCell ref="B12:C12"/>
    <mergeCell ref="B13:C13"/>
    <mergeCell ref="B14:C14"/>
    <mergeCell ref="B11:D11"/>
    <mergeCell ref="B16:D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 xr:uid="{9011ED03-938E-40F0-BE0E-E3DE87D7BD8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4440-2389-4955-A2BE-CEC18F70C805}">
  <dimension ref="B2:F20"/>
  <sheetViews>
    <sheetView workbookViewId="0">
      <selection activeCell="E21" sqref="E21"/>
    </sheetView>
  </sheetViews>
  <sheetFormatPr defaultRowHeight="14.4" x14ac:dyDescent="0.3"/>
  <cols>
    <col min="2" max="2" width="28.77734375" bestFit="1" customWidth="1"/>
    <col min="3" max="3" width="11.21875" bestFit="1" customWidth="1"/>
    <col min="4" max="4" width="17.6640625" bestFit="1" customWidth="1"/>
    <col min="5" max="5" width="9.109375" bestFit="1" customWidth="1"/>
  </cols>
  <sheetData>
    <row r="2" spans="2:6" x14ac:dyDescent="0.3">
      <c r="B2" s="2" t="s">
        <v>32</v>
      </c>
      <c r="C2" s="2" t="s">
        <v>17</v>
      </c>
      <c r="D2" s="2" t="s">
        <v>29</v>
      </c>
      <c r="E2" s="2" t="s">
        <v>30</v>
      </c>
      <c r="F2" s="2"/>
    </row>
    <row r="3" spans="2:6" x14ac:dyDescent="0.3">
      <c r="B3" s="2" t="str">
        <f>C3&amp;"-"&amp;D3</f>
        <v>Conservador-PAPEL</v>
      </c>
      <c r="C3" s="2" t="s">
        <v>28</v>
      </c>
      <c r="D3" s="2" t="s">
        <v>22</v>
      </c>
      <c r="E3" s="5">
        <v>0.3</v>
      </c>
      <c r="F3" s="2"/>
    </row>
    <row r="4" spans="2:6" x14ac:dyDescent="0.3">
      <c r="B4" s="2" t="str">
        <f t="shared" ref="B4:B20" si="0">C4&amp;"-"&amp;D4</f>
        <v>Conservador-TIJOLO</v>
      </c>
      <c r="C4" s="2" t="s">
        <v>28</v>
      </c>
      <c r="D4" s="2" t="s">
        <v>23</v>
      </c>
      <c r="E4" s="5">
        <v>0.5</v>
      </c>
      <c r="F4" s="2"/>
    </row>
    <row r="5" spans="2:6" x14ac:dyDescent="0.3">
      <c r="B5" s="2" t="str">
        <f t="shared" si="0"/>
        <v>Conservador-HIBRIDOS</v>
      </c>
      <c r="C5" s="2" t="s">
        <v>28</v>
      </c>
      <c r="D5" s="2" t="s">
        <v>24</v>
      </c>
      <c r="E5" s="5">
        <v>0.1</v>
      </c>
      <c r="F5" s="2"/>
    </row>
    <row r="6" spans="2:6" x14ac:dyDescent="0.3">
      <c r="B6" s="2" t="str">
        <f t="shared" si="0"/>
        <v>Conservador-FOFs</v>
      </c>
      <c r="C6" s="2" t="s">
        <v>28</v>
      </c>
      <c r="D6" s="2" t="s">
        <v>26</v>
      </c>
      <c r="E6" s="5">
        <v>0.1</v>
      </c>
      <c r="F6" s="2"/>
    </row>
    <row r="7" spans="2:6" x14ac:dyDescent="0.3">
      <c r="B7" s="2" t="str">
        <f t="shared" si="0"/>
        <v>Conservador-DESENVOLVIMENTO</v>
      </c>
      <c r="C7" s="2" t="s">
        <v>28</v>
      </c>
      <c r="D7" s="2" t="s">
        <v>25</v>
      </c>
      <c r="E7" s="5">
        <v>0</v>
      </c>
      <c r="F7" s="2"/>
    </row>
    <row r="8" spans="2:6" ht="15" thickBot="1" x14ac:dyDescent="0.35">
      <c r="B8" s="51" t="str">
        <f t="shared" si="0"/>
        <v>Conservador-HOTELARIAS</v>
      </c>
      <c r="C8" s="51" t="s">
        <v>28</v>
      </c>
      <c r="D8" s="51" t="s">
        <v>27</v>
      </c>
      <c r="E8" s="52">
        <v>0</v>
      </c>
      <c r="F8" s="2"/>
    </row>
    <row r="9" spans="2:6" x14ac:dyDescent="0.3">
      <c r="B9" s="2" t="str">
        <f t="shared" si="0"/>
        <v>Moderado-PAPEL</v>
      </c>
      <c r="C9" s="2" t="s">
        <v>31</v>
      </c>
      <c r="D9" s="2" t="s">
        <v>22</v>
      </c>
      <c r="E9" s="53">
        <v>0.32</v>
      </c>
      <c r="F9" s="2"/>
    </row>
    <row r="10" spans="2:6" x14ac:dyDescent="0.3">
      <c r="B10" s="2" t="str">
        <f t="shared" si="0"/>
        <v>Moderado-TIJOLO</v>
      </c>
      <c r="C10" s="2" t="s">
        <v>31</v>
      </c>
      <c r="D10" s="2" t="s">
        <v>23</v>
      </c>
      <c r="E10" s="5">
        <v>0.35</v>
      </c>
      <c r="F10" s="2"/>
    </row>
    <row r="11" spans="2:6" x14ac:dyDescent="0.3">
      <c r="B11" s="2" t="str">
        <f t="shared" si="0"/>
        <v>Moderado-HIBRIDOS</v>
      </c>
      <c r="C11" s="2" t="s">
        <v>31</v>
      </c>
      <c r="D11" s="2" t="s">
        <v>24</v>
      </c>
      <c r="E11" s="5">
        <v>0.08</v>
      </c>
      <c r="F11" s="2"/>
    </row>
    <row r="12" spans="2:6" x14ac:dyDescent="0.3">
      <c r="B12" s="2" t="str">
        <f t="shared" si="0"/>
        <v>Moderado-FOFs</v>
      </c>
      <c r="C12" s="2" t="s">
        <v>31</v>
      </c>
      <c r="D12" s="2" t="s">
        <v>26</v>
      </c>
      <c r="E12" s="5">
        <v>0.05</v>
      </c>
      <c r="F12" s="2"/>
    </row>
    <row r="13" spans="2:6" x14ac:dyDescent="0.3">
      <c r="B13" s="2" t="str">
        <f t="shared" si="0"/>
        <v>Moderado-DESENVOLVIMENTO</v>
      </c>
      <c r="C13" s="2" t="s">
        <v>31</v>
      </c>
      <c r="D13" s="2" t="s">
        <v>25</v>
      </c>
      <c r="E13" s="5">
        <v>0.1</v>
      </c>
      <c r="F13" s="2"/>
    </row>
    <row r="14" spans="2:6" ht="15" thickBot="1" x14ac:dyDescent="0.35">
      <c r="B14" s="51" t="str">
        <f t="shared" si="0"/>
        <v>Moderado-HOTELARIAS</v>
      </c>
      <c r="C14" s="51" t="s">
        <v>31</v>
      </c>
      <c r="D14" s="51" t="s">
        <v>27</v>
      </c>
      <c r="E14" s="52">
        <v>0.1</v>
      </c>
      <c r="F14" s="2"/>
    </row>
    <row r="15" spans="2:6" x14ac:dyDescent="0.3">
      <c r="B15" s="2" t="str">
        <f t="shared" si="0"/>
        <v>Agressivo-PAPEL</v>
      </c>
      <c r="C15" s="2" t="s">
        <v>16</v>
      </c>
      <c r="D15" s="2" t="s">
        <v>22</v>
      </c>
      <c r="E15" s="5">
        <v>0.5</v>
      </c>
      <c r="F15" s="2"/>
    </row>
    <row r="16" spans="2:6" x14ac:dyDescent="0.3">
      <c r="B16" s="2" t="str">
        <f t="shared" si="0"/>
        <v>Agressivo-TIJOLO</v>
      </c>
      <c r="C16" s="2" t="s">
        <v>16</v>
      </c>
      <c r="D16" s="2" t="s">
        <v>23</v>
      </c>
      <c r="E16" s="5">
        <v>0.1</v>
      </c>
      <c r="F16" s="2"/>
    </row>
    <row r="17" spans="2:6" x14ac:dyDescent="0.3">
      <c r="B17" s="2" t="str">
        <f t="shared" si="0"/>
        <v>Agressivo-HIBRIDOS</v>
      </c>
      <c r="C17" s="2" t="s">
        <v>16</v>
      </c>
      <c r="D17" s="2" t="s">
        <v>24</v>
      </c>
      <c r="E17" s="5">
        <v>0.05</v>
      </c>
      <c r="F17" s="2"/>
    </row>
    <row r="18" spans="2:6" x14ac:dyDescent="0.3">
      <c r="B18" s="2" t="str">
        <f t="shared" si="0"/>
        <v>Agressivo-FOFs</v>
      </c>
      <c r="C18" s="2" t="s">
        <v>16</v>
      </c>
      <c r="D18" s="2" t="s">
        <v>26</v>
      </c>
      <c r="E18" s="5">
        <v>0.05</v>
      </c>
      <c r="F18" s="2"/>
    </row>
    <row r="19" spans="2:6" x14ac:dyDescent="0.3">
      <c r="B19" s="2" t="str">
        <f t="shared" si="0"/>
        <v>Agressivo-DESENVOLVIMENTO</v>
      </c>
      <c r="C19" s="2" t="s">
        <v>16</v>
      </c>
      <c r="D19" s="2" t="s">
        <v>25</v>
      </c>
      <c r="E19" s="5">
        <v>0.2</v>
      </c>
      <c r="F19" s="2"/>
    </row>
    <row r="20" spans="2:6" x14ac:dyDescent="0.3">
      <c r="B20" s="2" t="str">
        <f t="shared" si="0"/>
        <v>Agressivo-HOTELARIAS</v>
      </c>
      <c r="C20" s="2" t="s">
        <v>16</v>
      </c>
      <c r="D20" s="2" t="s">
        <v>27</v>
      </c>
      <c r="E20" s="5">
        <v>0.1</v>
      </c>
      <c r="F2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Planilha2</vt:lpstr>
      <vt:lpstr>aporte</vt:lpstr>
      <vt:lpstr>patrimonio</vt:lpstr>
      <vt:lpstr>qtd_anos</vt:lpstr>
      <vt:lpstr>rendimento_carteira</vt:lpstr>
      <vt:lpstr>salario</vt:lpstr>
      <vt:lpstr>sugestao_invest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Kassia Silva</dc:creator>
  <cp:lastModifiedBy>Kassia Silva</cp:lastModifiedBy>
  <dcterms:created xsi:type="dcterms:W3CDTF">2026-09-17T21:06:38Z</dcterms:created>
  <dcterms:modified xsi:type="dcterms:W3CDTF">2026-09-17T23:59:11Z</dcterms:modified>
</cp:coreProperties>
</file>